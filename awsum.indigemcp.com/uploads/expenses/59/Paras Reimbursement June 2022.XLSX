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filterPrivacy="1" defaultThemeVersion="124226"/>
  <xr:revisionPtr revIDLastSave="0" documentId="13_ncr:1_{FAD6F283-8C1B-43D3-A158-748C9682A8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an2021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31" i="2" l="1"/>
  <c r="E33" i="2" s="1"/>
</calcChain>
</file>

<file path=xl/sharedStrings.xml><?xml version="1.0" encoding="utf-8"?>
<sst xmlns="http://schemas.openxmlformats.org/spreadsheetml/2006/main" count="63" uniqueCount="40">
  <si>
    <t>Reimbursement Form</t>
  </si>
  <si>
    <t>Phone:</t>
  </si>
  <si>
    <t>Email:</t>
  </si>
  <si>
    <t>Itemized Expenses</t>
  </si>
  <si>
    <t>ITEM</t>
  </si>
  <si>
    <t>DATE</t>
  </si>
  <si>
    <t>DESCRIPTION</t>
  </si>
  <si>
    <t>COST</t>
  </si>
  <si>
    <t>TOTAL</t>
  </si>
  <si>
    <t>Approval</t>
  </si>
  <si>
    <t>Approved By (Name)</t>
  </si>
  <si>
    <t>Position</t>
  </si>
  <si>
    <t>Signature</t>
  </si>
  <si>
    <t>Date</t>
  </si>
  <si>
    <t xml:space="preserve">Employee Name </t>
  </si>
  <si>
    <t>City</t>
  </si>
  <si>
    <t xml:space="preserve">Date </t>
  </si>
  <si>
    <t xml:space="preserve">Project Name </t>
  </si>
  <si>
    <t xml:space="preserve">Organization / Department Name- TechSum IT Solution Pvt Ltd </t>
  </si>
  <si>
    <t>Bill No.</t>
  </si>
  <si>
    <t>Navi Mumbai</t>
  </si>
  <si>
    <t>Attached</t>
  </si>
  <si>
    <t>Paras Mangukiya</t>
  </si>
  <si>
    <t>paras.m@techsumsolutions.com</t>
  </si>
  <si>
    <t xml:space="preserve">Ola home to LTT </t>
  </si>
  <si>
    <t>Ticket</t>
  </si>
  <si>
    <t>Hakeem's Restaurant</t>
  </si>
  <si>
    <t>Raja bhoj Restaurant</t>
  </si>
  <si>
    <t>No</t>
  </si>
  <si>
    <t>Bhagat Tarachand</t>
  </si>
  <si>
    <t xml:space="preserve">Prakash Dry Cleaner </t>
  </si>
  <si>
    <t>Manohar Restaurant</t>
  </si>
  <si>
    <t>Ticket-Kalpesh</t>
  </si>
  <si>
    <t>ola bhopal station to hotel</t>
  </si>
  <si>
    <t>Auto RKMP to Hotel</t>
  </si>
  <si>
    <t>Shiv Dry Cleaner</t>
  </si>
  <si>
    <t>Bhopal To mumbai Ticket</t>
  </si>
  <si>
    <t>Hotel to Bhopal airport</t>
  </si>
  <si>
    <t>Train local home to CST</t>
  </si>
  <si>
    <t>MPSOS Evaluation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</si>
</sst>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[$-409]d/mmm/yy;@"/>
    <numFmt numFmtId="167" formatCode="_([$INR]\ * #,##0.00_);_([$INR]\ * \(#,##0.00\);_([$INR]\ 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indexed="9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4"/>
      <name val="Calibri"/>
      <family val="2"/>
      <scheme val="minor"/>
    </font>
    <font>
      <b/>
      <sz val="10"/>
      <color indexed="52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3" tint="0.39997558519241921"/>
      <name val="Calibri"/>
      <family val="2"/>
      <scheme val="minor"/>
    </font>
    <font>
      <b/>
      <sz val="10"/>
      <color theme="1" tint="0.34998626667073579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/>
      <top style="thin">
        <color theme="0" tint="-0.499984740745262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medium">
        <color indexed="64"/>
      </right>
      <top/>
      <bottom style="thin">
        <color theme="0" tint="-0.34998626667073579"/>
      </bottom>
      <diagonal/>
    </border>
    <border>
      <left/>
      <right style="medium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medium">
        <color indexed="64"/>
      </right>
      <top style="thin">
        <color theme="0" tint="-0.499984740745262"/>
      </top>
      <bottom/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0" borderId="0" applyNumberFormat="0" applyFill="0" applyBorder="0" applyAlignment="0" applyProtection="0"/>
  </cellStyleXfs>
  <cellXfs count="69">
    <xf numFmtId="0" fontId="0" fillId="0" borderId="0" xfId="0"/>
    <xf numFmtId="0" fontId="2" fillId="0" borderId="0" xfId="0" applyFont="1" applyBorder="1" applyAlignment="1">
      <alignment vertical="center"/>
    </xf>
    <xf numFmtId="10" fontId="3" fillId="2" borderId="0" xfId="0" applyNumberFormat="1" applyFont="1" applyFill="1" applyBorder="1" applyAlignment="1">
      <alignment horizontal="center" vertical="center" wrapText="1"/>
    </xf>
    <xf numFmtId="10" fontId="3" fillId="2" borderId="0" xfId="0" applyNumberFormat="1" applyFont="1" applyFill="1" applyBorder="1" applyAlignment="1">
      <alignment vertical="center" wrapText="1"/>
    </xf>
    <xf numFmtId="0" fontId="2" fillId="0" borderId="0" xfId="0" applyFont="1" applyBorder="1" applyAlignment="1">
      <alignment horizontal="left" vertical="center"/>
    </xf>
    <xf numFmtId="0" fontId="6" fillId="0" borderId="0" xfId="0" applyFont="1"/>
    <xf numFmtId="0" fontId="5" fillId="0" borderId="0" xfId="0" applyFont="1" applyBorder="1" applyAlignment="1">
      <alignment horizontal="right" vertical="center" indent="1"/>
    </xf>
    <xf numFmtId="0" fontId="6" fillId="0" borderId="5" xfId="0" applyFont="1" applyBorder="1"/>
    <xf numFmtId="0" fontId="6" fillId="0" borderId="6" xfId="0" applyFont="1" applyBorder="1"/>
    <xf numFmtId="0" fontId="6" fillId="0" borderId="7" xfId="0" applyFont="1" applyBorder="1"/>
    <xf numFmtId="0" fontId="6" fillId="0" borderId="0" xfId="0" applyFont="1" applyBorder="1"/>
    <xf numFmtId="0" fontId="7" fillId="0" borderId="8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2" fillId="0" borderId="8" xfId="0" applyFont="1" applyBorder="1" applyAlignment="1">
      <alignment horizontal="left" vertical="center"/>
    </xf>
    <xf numFmtId="0" fontId="2" fillId="0" borderId="8" xfId="0" applyFont="1" applyBorder="1" applyAlignment="1">
      <alignment vertical="center"/>
    </xf>
    <xf numFmtId="0" fontId="5" fillId="0" borderId="8" xfId="0" applyFont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4" fillId="0" borderId="8" xfId="0" applyFont="1" applyBorder="1" applyAlignment="1">
      <alignment vertical="center"/>
    </xf>
    <xf numFmtId="10" fontId="3" fillId="2" borderId="8" xfId="0" applyNumberFormat="1" applyFont="1" applyFill="1" applyBorder="1" applyAlignment="1">
      <alignment horizontal="center" vertical="center" wrapText="1"/>
    </xf>
    <xf numFmtId="0" fontId="2" fillId="0" borderId="8" xfId="0" applyFont="1" applyBorder="1" applyAlignment="1" applyProtection="1">
      <alignment horizontal="left" vertical="center"/>
      <protection locked="0"/>
    </xf>
    <xf numFmtId="0" fontId="9" fillId="0" borderId="0" xfId="0" applyFont="1" applyBorder="1"/>
    <xf numFmtId="0" fontId="2" fillId="0" borderId="0" xfId="0" applyFont="1" applyBorder="1" applyAlignment="1"/>
    <xf numFmtId="0" fontId="2" fillId="0" borderId="12" xfId="0" applyFont="1" applyBorder="1" applyAlignment="1"/>
    <xf numFmtId="0" fontId="2" fillId="0" borderId="13" xfId="0" applyFont="1" applyBorder="1" applyAlignment="1"/>
    <xf numFmtId="0" fontId="6" fillId="0" borderId="13" xfId="0" applyFont="1" applyBorder="1"/>
    <xf numFmtId="0" fontId="5" fillId="0" borderId="11" xfId="0" applyFont="1" applyBorder="1" applyAlignment="1">
      <alignment horizontal="left" vertical="top"/>
    </xf>
    <xf numFmtId="0" fontId="5" fillId="0" borderId="4" xfId="0" applyFont="1" applyBorder="1" applyAlignment="1">
      <alignment horizontal="left" vertical="top"/>
    </xf>
    <xf numFmtId="0" fontId="11" fillId="0" borderId="8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 indent="1"/>
    </xf>
    <xf numFmtId="0" fontId="2" fillId="0" borderId="2" xfId="0" applyFont="1" applyBorder="1" applyAlignment="1">
      <alignment horizontal="left" vertical="center" indent="1"/>
    </xf>
    <xf numFmtId="0" fontId="2" fillId="0" borderId="3" xfId="0" applyFont="1" applyBorder="1" applyAlignment="1">
      <alignment horizontal="left" vertical="center" indent="1"/>
    </xf>
    <xf numFmtId="0" fontId="2" fillId="0" borderId="1" xfId="0" applyFont="1" applyBorder="1" applyAlignment="1">
      <alignment horizontal="left" vertical="center" indent="1"/>
    </xf>
    <xf numFmtId="0" fontId="5" fillId="0" borderId="10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left" vertical="center" indent="1"/>
    </xf>
    <xf numFmtId="0" fontId="12" fillId="0" borderId="0" xfId="3" applyBorder="1"/>
    <xf numFmtId="166" fontId="2" fillId="0" borderId="14" xfId="0" applyNumberFormat="1" applyFont="1" applyBorder="1" applyAlignment="1" applyProtection="1">
      <alignment horizontal="center" vertical="center"/>
      <protection locked="0"/>
    </xf>
    <xf numFmtId="0" fontId="2" fillId="0" borderId="5" xfId="0" applyNumberFormat="1" applyFont="1" applyBorder="1" applyAlignment="1" applyProtection="1">
      <alignment horizontal="center" vertical="center"/>
      <protection locked="0"/>
    </xf>
    <xf numFmtId="166" fontId="2" fillId="0" borderId="5" xfId="0" applyNumberFormat="1" applyFont="1" applyBorder="1" applyAlignment="1" applyProtection="1">
      <alignment horizontal="center" vertical="center"/>
      <protection locked="0"/>
    </xf>
    <xf numFmtId="0" fontId="2" fillId="0" borderId="5" xfId="0" applyNumberFormat="1" applyFont="1" applyBorder="1" applyAlignment="1" applyProtection="1">
      <alignment vertical="center" wrapText="1"/>
      <protection locked="0"/>
    </xf>
    <xf numFmtId="15" fontId="6" fillId="0" borderId="5" xfId="0" applyNumberFormat="1" applyFont="1" applyBorder="1" applyAlignment="1">
      <alignment horizontal="center"/>
    </xf>
    <xf numFmtId="0" fontId="6" fillId="0" borderId="15" xfId="0" applyFont="1" applyBorder="1"/>
    <xf numFmtId="0" fontId="6" fillId="0" borderId="16" xfId="0" applyFont="1" applyBorder="1"/>
    <xf numFmtId="0" fontId="2" fillId="0" borderId="9" xfId="0" applyNumberFormat="1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>
      <alignment horizontal="center"/>
    </xf>
    <xf numFmtId="0" fontId="6" fillId="0" borderId="8" xfId="0" applyFont="1" applyBorder="1"/>
    <xf numFmtId="0" fontId="6" fillId="0" borderId="12" xfId="0" applyFont="1" applyBorder="1"/>
    <xf numFmtId="0" fontId="6" fillId="0" borderId="17" xfId="0" applyFont="1" applyBorder="1"/>
    <xf numFmtId="0" fontId="2" fillId="0" borderId="0" xfId="0" applyFont="1" applyBorder="1" applyAlignment="1" applyProtection="1">
      <alignment horizontal="left" vertical="center" indent="1" shrinkToFit="1"/>
      <protection locked="0"/>
    </xf>
    <xf numFmtId="15" fontId="2" fillId="0" borderId="0" xfId="0" applyNumberFormat="1" applyFont="1" applyBorder="1" applyAlignment="1" applyProtection="1">
      <alignment horizontal="left" vertical="center" indent="1" shrinkToFit="1"/>
      <protection locked="0"/>
    </xf>
    <xf numFmtId="0" fontId="8" fillId="0" borderId="16" xfId="0" applyFont="1" applyBorder="1" applyAlignment="1">
      <alignment horizontal="right" vertical="center"/>
    </xf>
    <xf numFmtId="0" fontId="2" fillId="0" borderId="16" xfId="0" applyFont="1" applyBorder="1" applyAlignment="1">
      <alignment vertical="center"/>
    </xf>
    <xf numFmtId="0" fontId="3" fillId="0" borderId="16" xfId="0" applyFont="1" applyFill="1" applyBorder="1" applyAlignment="1">
      <alignment horizontal="center" vertical="center" wrapText="1"/>
    </xf>
    <xf numFmtId="0" fontId="12" fillId="0" borderId="16" xfId="3" applyBorder="1"/>
    <xf numFmtId="0" fontId="3" fillId="0" borderId="16" xfId="0" applyFont="1" applyBorder="1" applyAlignment="1">
      <alignment horizontal="right" vertical="center"/>
    </xf>
    <xf numFmtId="0" fontId="3" fillId="2" borderId="16" xfId="0" applyFont="1" applyFill="1" applyBorder="1" applyAlignment="1">
      <alignment horizontal="center" vertical="center" wrapText="1"/>
    </xf>
    <xf numFmtId="165" fontId="2" fillId="0" borderId="18" xfId="1" applyFont="1" applyBorder="1" applyAlignment="1" applyProtection="1">
      <alignment horizontal="right" vertical="center"/>
      <protection locked="0"/>
    </xf>
    <xf numFmtId="0" fontId="6" fillId="0" borderId="18" xfId="0" applyFont="1" applyBorder="1"/>
    <xf numFmtId="167" fontId="5" fillId="3" borderId="19" xfId="2" applyNumberFormat="1" applyFont="1" applyFill="1" applyBorder="1" applyAlignment="1">
      <alignment vertical="center"/>
    </xf>
    <xf numFmtId="0" fontId="2" fillId="0" borderId="16" xfId="0" applyFont="1" applyBorder="1" applyAlignment="1">
      <alignment horizontal="right" vertical="center"/>
    </xf>
    <xf numFmtId="0" fontId="2" fillId="0" borderId="16" xfId="0" applyFont="1" applyBorder="1" applyAlignment="1"/>
    <xf numFmtId="0" fontId="2" fillId="0" borderId="20" xfId="0" applyFont="1" applyBorder="1" applyAlignment="1">
      <alignment horizontal="left" vertical="center" indent="1"/>
    </xf>
    <xf numFmtId="0" fontId="5" fillId="0" borderId="21" xfId="0" applyFont="1" applyBorder="1" applyAlignment="1">
      <alignment horizontal="left" vertical="top"/>
    </xf>
    <xf numFmtId="0" fontId="5" fillId="0" borderId="20" xfId="0" applyFont="1" applyBorder="1" applyAlignment="1">
      <alignment horizontal="left" vertical="center" indent="1"/>
    </xf>
    <xf numFmtId="0" fontId="5" fillId="0" borderId="21" xfId="0" applyFont="1" applyBorder="1" applyAlignment="1">
      <alignment horizontal="center" vertical="top"/>
    </xf>
    <xf numFmtId="0" fontId="2" fillId="0" borderId="17" xfId="0" applyFont="1" applyBorder="1" applyAlignment="1"/>
    <xf numFmtId="0" fontId="10" fillId="0" borderId="0" xfId="0" applyFont="1" applyBorder="1" applyAlignment="1">
      <alignment horizontal="center"/>
    </xf>
    <xf numFmtId="0" fontId="10" fillId="0" borderId="16" xfId="0" applyFont="1" applyBorder="1" applyAlignment="1">
      <alignment horizontal="center"/>
    </xf>
  </cellXfs>
  <cellStyles count="4">
    <cellStyle name="Comma" xfId="1" builtinId="3"/>
    <cellStyle name="Currency" xfId="2" builtinId="4"/>
    <cellStyle name="Hyperlink" xfId="3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aras.m@techsumsolutions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workbookViewId="0">
      <selection sqref="A1:E48"/>
    </sheetView>
  </sheetViews>
  <sheetFormatPr defaultRowHeight="13.8" x14ac:dyDescent="0.3"/>
  <cols>
    <col min="1" max="1" width="7.109375" style="5" customWidth="1"/>
    <col min="2" max="2" width="21" style="5" customWidth="1"/>
    <col min="3" max="3" width="26.21875" style="5" customWidth="1"/>
    <col min="4" max="4" width="15.5546875" style="5" customWidth="1"/>
    <col min="5" max="5" width="14.5546875" style="5" customWidth="1"/>
    <col min="6" max="16384" width="8.88671875" style="5"/>
  </cols>
  <sheetData>
    <row r="1" spans="1:7" x14ac:dyDescent="0.3">
      <c r="A1" s="8"/>
      <c r="B1" s="9"/>
      <c r="C1" s="9"/>
      <c r="D1" s="9"/>
      <c r="E1" s="42"/>
    </row>
    <row r="2" spans="1:7" x14ac:dyDescent="0.3">
      <c r="A2" s="46"/>
      <c r="B2" s="67"/>
      <c r="C2" s="67"/>
      <c r="D2" s="67"/>
      <c r="E2" s="68"/>
      <c r="F2" s="10"/>
      <c r="G2" s="10"/>
    </row>
    <row r="3" spans="1:7" x14ac:dyDescent="0.3">
      <c r="A3" s="11" t="s">
        <v>0</v>
      </c>
      <c r="B3" s="12"/>
      <c r="C3" s="12"/>
      <c r="D3" s="4"/>
      <c r="E3" s="51"/>
      <c r="F3" s="10"/>
      <c r="G3" s="10"/>
    </row>
    <row r="4" spans="1:7" x14ac:dyDescent="0.3">
      <c r="A4" s="27" t="s">
        <v>18</v>
      </c>
      <c r="B4" s="4"/>
      <c r="C4" s="4"/>
      <c r="D4" s="4"/>
      <c r="E4" s="52"/>
      <c r="F4" s="10"/>
      <c r="G4" s="10"/>
    </row>
    <row r="5" spans="1:7" x14ac:dyDescent="0.3">
      <c r="A5" s="13"/>
      <c r="B5" s="4"/>
      <c r="C5" s="4"/>
      <c r="D5" s="4"/>
      <c r="E5" s="52"/>
      <c r="F5" s="10"/>
      <c r="G5" s="10"/>
    </row>
    <row r="6" spans="1:7" x14ac:dyDescent="0.3">
      <c r="A6" s="13"/>
      <c r="B6" s="4"/>
      <c r="C6" s="4"/>
      <c r="D6" s="4"/>
      <c r="E6" s="53"/>
      <c r="F6" s="10"/>
      <c r="G6" s="10"/>
    </row>
    <row r="7" spans="1:7" ht="14.4" x14ac:dyDescent="0.3">
      <c r="A7" s="13" t="s">
        <v>14</v>
      </c>
      <c r="B7" s="4" t="s">
        <v>22</v>
      </c>
      <c r="C7" s="4" t="s">
        <v>2</v>
      </c>
      <c r="D7" s="36" t="s">
        <v>23</v>
      </c>
      <c r="E7" s="54"/>
      <c r="F7" s="10"/>
      <c r="G7" s="10"/>
    </row>
    <row r="8" spans="1:7" x14ac:dyDescent="0.3">
      <c r="A8" s="13" t="s">
        <v>1</v>
      </c>
      <c r="B8" s="49">
        <v>9904186030</v>
      </c>
      <c r="C8" s="4" t="s">
        <v>15</v>
      </c>
      <c r="D8" s="10" t="s">
        <v>20</v>
      </c>
      <c r="E8" s="43"/>
      <c r="F8" s="10"/>
      <c r="G8" s="10"/>
    </row>
    <row r="9" spans="1:7" x14ac:dyDescent="0.3">
      <c r="A9" s="46" t="s">
        <v>16</v>
      </c>
      <c r="B9" s="50">
        <v>44735</v>
      </c>
      <c r="C9" s="16" t="s">
        <v>17</v>
      </c>
      <c r="D9" s="10" t="s">
        <v>39</v>
      </c>
      <c r="E9" s="43"/>
      <c r="F9" s="10"/>
      <c r="G9" s="10"/>
    </row>
    <row r="10" spans="1:7" x14ac:dyDescent="0.3">
      <c r="A10" s="11" t="s">
        <v>3</v>
      </c>
      <c r="B10" s="1"/>
      <c r="C10" s="1"/>
      <c r="D10" s="1"/>
      <c r="E10" s="55"/>
      <c r="F10" s="10"/>
      <c r="G10" s="10"/>
    </row>
    <row r="11" spans="1:7" x14ac:dyDescent="0.3">
      <c r="A11" s="17"/>
      <c r="B11" s="1"/>
      <c r="C11" s="1"/>
      <c r="D11" s="1"/>
      <c r="E11" s="52"/>
      <c r="F11" s="10"/>
      <c r="G11" s="10"/>
    </row>
    <row r="12" spans="1:7" x14ac:dyDescent="0.3">
      <c r="A12" s="18" t="s">
        <v>4</v>
      </c>
      <c r="B12" s="2" t="s">
        <v>5</v>
      </c>
      <c r="C12" s="3" t="s">
        <v>6</v>
      </c>
      <c r="D12" s="2" t="s">
        <v>19</v>
      </c>
      <c r="E12" s="56" t="s">
        <v>7</v>
      </c>
      <c r="F12" s="10"/>
      <c r="G12" s="10"/>
    </row>
    <row r="13" spans="1:7" x14ac:dyDescent="0.3">
      <c r="A13" s="44">
        <v>1</v>
      </c>
      <c r="B13" s="39">
        <v>44721</v>
      </c>
      <c r="C13" s="40" t="s">
        <v>24</v>
      </c>
      <c r="D13" s="38" t="s">
        <v>28</v>
      </c>
      <c r="E13" s="57">
        <v>505</v>
      </c>
      <c r="F13" s="10"/>
      <c r="G13" s="10"/>
    </row>
    <row r="14" spans="1:7" x14ac:dyDescent="0.3">
      <c r="A14" s="44">
        <v>2</v>
      </c>
      <c r="B14" s="39">
        <v>44721</v>
      </c>
      <c r="C14" s="40" t="s">
        <v>34</v>
      </c>
      <c r="D14" s="38" t="s">
        <v>28</v>
      </c>
      <c r="E14" s="57">
        <v>100</v>
      </c>
      <c r="F14" s="10"/>
      <c r="G14" s="10"/>
    </row>
    <row r="15" spans="1:7" x14ac:dyDescent="0.3">
      <c r="A15" s="44">
        <v>3</v>
      </c>
      <c r="B15" s="39">
        <v>44721</v>
      </c>
      <c r="C15" s="40" t="s">
        <v>25</v>
      </c>
      <c r="D15" s="38" t="s">
        <v>21</v>
      </c>
      <c r="E15" s="57">
        <v>2397</v>
      </c>
      <c r="F15" s="10"/>
      <c r="G15" s="10"/>
    </row>
    <row r="16" spans="1:7" x14ac:dyDescent="0.3">
      <c r="A16" s="44">
        <v>4</v>
      </c>
      <c r="B16" s="39">
        <v>44721</v>
      </c>
      <c r="C16" s="40" t="s">
        <v>26</v>
      </c>
      <c r="D16" s="38" t="s">
        <v>21</v>
      </c>
      <c r="E16" s="57">
        <v>194</v>
      </c>
      <c r="F16" s="10"/>
      <c r="G16" s="10"/>
    </row>
    <row r="17" spans="1:7" x14ac:dyDescent="0.3">
      <c r="A17" s="44">
        <v>5</v>
      </c>
      <c r="B17" s="39">
        <v>44722</v>
      </c>
      <c r="C17" s="40" t="s">
        <v>27</v>
      </c>
      <c r="D17" s="38" t="s">
        <v>28</v>
      </c>
      <c r="E17" s="57">
        <v>240</v>
      </c>
      <c r="F17" s="10"/>
      <c r="G17" s="10"/>
    </row>
    <row r="18" spans="1:7" x14ac:dyDescent="0.3">
      <c r="A18" s="44">
        <v>6</v>
      </c>
      <c r="B18" s="39">
        <v>44723</v>
      </c>
      <c r="C18" s="40" t="s">
        <v>27</v>
      </c>
      <c r="D18" s="38" t="s">
        <v>21</v>
      </c>
      <c r="E18" s="57">
        <v>152</v>
      </c>
      <c r="F18" s="10"/>
      <c r="G18" s="10"/>
    </row>
    <row r="19" spans="1:7" x14ac:dyDescent="0.3">
      <c r="A19" s="44">
        <v>7</v>
      </c>
      <c r="B19" s="39">
        <v>44724</v>
      </c>
      <c r="C19" s="40" t="s">
        <v>29</v>
      </c>
      <c r="D19" s="38" t="s">
        <v>21</v>
      </c>
      <c r="E19" s="57">
        <v>330</v>
      </c>
      <c r="F19" s="10"/>
      <c r="G19" s="10"/>
    </row>
    <row r="20" spans="1:7" x14ac:dyDescent="0.3">
      <c r="A20" s="44">
        <v>8</v>
      </c>
      <c r="B20" s="39">
        <v>44725</v>
      </c>
      <c r="C20" s="40" t="s">
        <v>30</v>
      </c>
      <c r="D20" s="38" t="s">
        <v>21</v>
      </c>
      <c r="E20" s="57">
        <v>505</v>
      </c>
      <c r="F20" s="10"/>
      <c r="G20" s="10"/>
    </row>
    <row r="21" spans="1:7" x14ac:dyDescent="0.3">
      <c r="A21" s="44">
        <v>9</v>
      </c>
      <c r="B21" s="39">
        <v>44725</v>
      </c>
      <c r="C21" s="40" t="s">
        <v>31</v>
      </c>
      <c r="D21" s="38" t="s">
        <v>21</v>
      </c>
      <c r="E21" s="57">
        <v>245</v>
      </c>
      <c r="F21" s="10"/>
      <c r="G21" s="10"/>
    </row>
    <row r="22" spans="1:7" x14ac:dyDescent="0.3">
      <c r="A22" s="44">
        <v>10</v>
      </c>
      <c r="B22" s="39">
        <v>44726</v>
      </c>
      <c r="C22" s="40" t="s">
        <v>31</v>
      </c>
      <c r="D22" s="38" t="s">
        <v>21</v>
      </c>
      <c r="E22" s="57">
        <v>179</v>
      </c>
      <c r="F22" s="10"/>
      <c r="G22" s="10"/>
    </row>
    <row r="23" spans="1:7" x14ac:dyDescent="0.3">
      <c r="A23" s="44">
        <v>11</v>
      </c>
      <c r="B23" s="39">
        <v>44727</v>
      </c>
      <c r="C23" s="40" t="s">
        <v>31</v>
      </c>
      <c r="D23" s="38" t="s">
        <v>21</v>
      </c>
      <c r="E23" s="57">
        <v>245</v>
      </c>
      <c r="F23" s="10"/>
      <c r="G23" s="10"/>
    </row>
    <row r="24" spans="1:7" x14ac:dyDescent="0.3">
      <c r="A24" s="44">
        <v>12</v>
      </c>
      <c r="B24" s="39">
        <v>44727</v>
      </c>
      <c r="C24" s="40" t="s">
        <v>38</v>
      </c>
      <c r="D24" s="38" t="s">
        <v>28</v>
      </c>
      <c r="E24" s="57">
        <v>166</v>
      </c>
      <c r="F24" s="10"/>
      <c r="G24" s="10"/>
    </row>
    <row r="25" spans="1:7" x14ac:dyDescent="0.3">
      <c r="A25" s="44">
        <v>13</v>
      </c>
      <c r="B25" s="39">
        <v>44727</v>
      </c>
      <c r="C25" s="40" t="s">
        <v>32</v>
      </c>
      <c r="D25" s="38" t="s">
        <v>21</v>
      </c>
      <c r="E25" s="57">
        <v>2983</v>
      </c>
      <c r="F25" s="10"/>
      <c r="G25" s="10"/>
    </row>
    <row r="26" spans="1:7" x14ac:dyDescent="0.3">
      <c r="A26" s="44">
        <v>14</v>
      </c>
      <c r="B26" s="39">
        <v>44728</v>
      </c>
      <c r="C26" s="40" t="s">
        <v>33</v>
      </c>
      <c r="D26" s="38" t="s">
        <v>28</v>
      </c>
      <c r="E26" s="57">
        <v>266</v>
      </c>
      <c r="F26" s="10"/>
      <c r="G26" s="10"/>
    </row>
    <row r="27" spans="1:7" x14ac:dyDescent="0.3">
      <c r="A27" s="44">
        <v>15</v>
      </c>
      <c r="B27" s="39">
        <v>44728</v>
      </c>
      <c r="C27" s="40" t="s">
        <v>31</v>
      </c>
      <c r="D27" s="38" t="s">
        <v>21</v>
      </c>
      <c r="E27" s="57">
        <v>439</v>
      </c>
      <c r="F27" s="10"/>
      <c r="G27" s="10"/>
    </row>
    <row r="28" spans="1:7" x14ac:dyDescent="0.3">
      <c r="A28" s="44">
        <v>16</v>
      </c>
      <c r="B28" s="39">
        <v>44729</v>
      </c>
      <c r="C28" s="40" t="s">
        <v>35</v>
      </c>
      <c r="D28" s="38" t="s">
        <v>21</v>
      </c>
      <c r="E28" s="57">
        <v>400</v>
      </c>
      <c r="F28" s="10"/>
      <c r="G28" s="10"/>
    </row>
    <row r="29" spans="1:7" x14ac:dyDescent="0.3">
      <c r="A29" s="44">
        <v>17</v>
      </c>
      <c r="B29" s="39">
        <v>44730</v>
      </c>
      <c r="C29" s="40" t="s">
        <v>29</v>
      </c>
      <c r="D29" s="38" t="s">
        <v>21</v>
      </c>
      <c r="E29" s="57">
        <v>520</v>
      </c>
      <c r="F29" s="10"/>
      <c r="G29" s="10"/>
    </row>
    <row r="30" spans="1:7" x14ac:dyDescent="0.3">
      <c r="A30" s="44">
        <v>18</v>
      </c>
      <c r="B30" s="39">
        <v>44732</v>
      </c>
      <c r="C30" s="40" t="s">
        <v>35</v>
      </c>
      <c r="D30" s="38" t="s">
        <v>21</v>
      </c>
      <c r="E30" s="57">
        <v>320</v>
      </c>
      <c r="F30" s="10"/>
      <c r="G30" s="10"/>
    </row>
    <row r="31" spans="1:7" x14ac:dyDescent="0.3">
      <c r="A31" s="44">
        <v>19</v>
      </c>
      <c r="B31" s="39">
        <v>44736</v>
      </c>
      <c r="C31" s="40" t="s">
        <v>36</v>
      </c>
      <c r="D31" s="38" t="s">
        <v>21</v>
      </c>
      <c r="E31" s="57">
        <f>2800*2</f>
        <v>5600</v>
      </c>
      <c r="F31" s="10"/>
      <c r="G31" s="10"/>
    </row>
    <row r="32" spans="1:7" x14ac:dyDescent="0.3">
      <c r="A32" s="45">
        <v>20</v>
      </c>
      <c r="B32" s="41">
        <v>44736</v>
      </c>
      <c r="C32" s="7" t="s">
        <v>37</v>
      </c>
      <c r="D32" s="7"/>
      <c r="E32" s="58">
        <v>350</v>
      </c>
      <c r="F32" s="10"/>
      <c r="G32" s="10"/>
    </row>
    <row r="33" spans="1:7" x14ac:dyDescent="0.3">
      <c r="A33" s="19"/>
      <c r="B33" s="37"/>
      <c r="C33" s="1"/>
      <c r="D33" s="6" t="s">
        <v>8</v>
      </c>
      <c r="E33" s="59">
        <f>SUM(E13:E32)</f>
        <v>16136</v>
      </c>
      <c r="F33" s="10"/>
      <c r="G33" s="10"/>
    </row>
    <row r="34" spans="1:7" x14ac:dyDescent="0.3">
      <c r="A34" s="14"/>
      <c r="B34" s="1"/>
      <c r="C34" s="1"/>
      <c r="D34" s="1"/>
      <c r="E34" s="52"/>
      <c r="F34" s="10"/>
      <c r="G34" s="10"/>
    </row>
    <row r="35" spans="1:7" x14ac:dyDescent="0.3">
      <c r="A35" s="14"/>
      <c r="B35" s="1"/>
      <c r="C35" s="1"/>
      <c r="D35" s="1"/>
      <c r="E35" s="60"/>
      <c r="F35" s="10"/>
      <c r="G35" s="10"/>
    </row>
    <row r="36" spans="1:7" x14ac:dyDescent="0.3">
      <c r="A36" s="15" t="s">
        <v>9</v>
      </c>
      <c r="B36" s="21"/>
      <c r="C36" s="21"/>
      <c r="D36" s="21"/>
      <c r="E36" s="61"/>
      <c r="F36" s="10"/>
      <c r="G36" s="10"/>
    </row>
    <row r="37" spans="1:7" x14ac:dyDescent="0.3">
      <c r="A37" s="28"/>
      <c r="B37" s="29"/>
      <c r="C37" s="30"/>
      <c r="D37" s="31"/>
      <c r="E37" s="62"/>
      <c r="F37" s="10"/>
      <c r="G37" s="10"/>
    </row>
    <row r="38" spans="1:7" x14ac:dyDescent="0.3">
      <c r="A38" s="25" t="s">
        <v>10</v>
      </c>
      <c r="B38" s="26"/>
      <c r="C38" s="26"/>
      <c r="D38" s="26" t="s">
        <v>11</v>
      </c>
      <c r="E38" s="63"/>
      <c r="F38" s="20"/>
      <c r="G38" s="10"/>
    </row>
    <row r="39" spans="1:7" x14ac:dyDescent="0.3">
      <c r="A39" s="32"/>
      <c r="B39" s="33"/>
      <c r="C39" s="34"/>
      <c r="D39" s="35"/>
      <c r="E39" s="64"/>
      <c r="F39" s="20"/>
      <c r="G39" s="10"/>
    </row>
    <row r="40" spans="1:7" x14ac:dyDescent="0.3">
      <c r="A40" s="25" t="s">
        <v>12</v>
      </c>
      <c r="B40" s="26"/>
      <c r="C40" s="26"/>
      <c r="D40" s="26" t="s">
        <v>13</v>
      </c>
      <c r="E40" s="65"/>
      <c r="F40" s="20"/>
      <c r="G40" s="10"/>
    </row>
    <row r="41" spans="1:7" ht="14.4" thickBot="1" x14ac:dyDescent="0.35">
      <c r="A41" s="22"/>
      <c r="B41" s="23"/>
      <c r="C41" s="23"/>
      <c r="D41" s="23"/>
      <c r="E41" s="66"/>
      <c r="F41" s="10"/>
      <c r="G41" s="10"/>
    </row>
    <row r="42" spans="1:7" x14ac:dyDescent="0.3">
      <c r="A42" s="46"/>
      <c r="B42" s="10"/>
      <c r="C42" s="10"/>
      <c r="D42" s="10"/>
      <c r="E42" s="43"/>
      <c r="F42" s="10"/>
      <c r="G42" s="10"/>
    </row>
    <row r="43" spans="1:7" x14ac:dyDescent="0.3">
      <c r="A43" s="46"/>
      <c r="B43" s="10"/>
      <c r="C43" s="10"/>
      <c r="D43" s="10"/>
      <c r="E43" s="43"/>
      <c r="F43" s="10"/>
      <c r="G43" s="10"/>
    </row>
    <row r="44" spans="1:7" x14ac:dyDescent="0.3">
      <c r="A44" s="46"/>
      <c r="B44" s="10"/>
      <c r="C44" s="10"/>
      <c r="D44" s="10"/>
      <c r="E44" s="43"/>
      <c r="F44" s="10"/>
      <c r="G44" s="10"/>
    </row>
    <row r="45" spans="1:7" x14ac:dyDescent="0.3">
      <c r="A45" s="46"/>
      <c r="B45" s="10"/>
      <c r="C45" s="10"/>
      <c r="D45" s="10"/>
      <c r="E45" s="43"/>
      <c r="F45" s="10"/>
      <c r="G45" s="10"/>
    </row>
    <row r="46" spans="1:7" x14ac:dyDescent="0.3">
      <c r="A46" s="46"/>
      <c r="B46" s="10"/>
      <c r="C46" s="10"/>
      <c r="D46" s="10"/>
      <c r="E46" s="43"/>
      <c r="F46" s="10"/>
      <c r="G46" s="10"/>
    </row>
    <row r="47" spans="1:7" x14ac:dyDescent="0.3">
      <c r="A47" s="46"/>
      <c r="B47" s="10"/>
      <c r="C47" s="10"/>
      <c r="D47" s="10"/>
      <c r="E47" s="43"/>
      <c r="F47" s="10"/>
      <c r="G47" s="10"/>
    </row>
    <row r="48" spans="1:7" ht="14.4" thickBot="1" x14ac:dyDescent="0.35">
      <c r="A48" s="47"/>
      <c r="B48" s="24"/>
      <c r="C48" s="24"/>
      <c r="D48" s="24"/>
      <c r="E48" s="48"/>
      <c r="F48" s="10"/>
      <c r="G48" s="10"/>
    </row>
  </sheetData>
  <mergeCells count="4">
    <mergeCell ref="A37:C37"/>
    <mergeCell ref="D37:E37"/>
    <mergeCell ref="A39:C39"/>
    <mergeCell ref="D39:E39"/>
  </mergeCells>
  <dataValidations count="1">
    <dataValidation type="list" allowBlank="1" showInputMessage="1" showErrorMessage="1" sqref="D13:D31" xr:uid="{00000000-0002-0000-0000-000000000000}">
      <formula1>"No,Attached,See Note"</formula1>
    </dataValidation>
  </dataValidations>
  <hyperlinks>
    <hyperlink ref="D7" r:id="rId1" xr:uid="{B8E99F60-6F09-47D2-B973-7CEE1F179831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Jan2021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2022-06-23T09:37:25Z</dcterms:modified>
</cp:coreProperties>
</file>